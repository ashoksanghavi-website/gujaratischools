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2"/>
  </bookViews>
  <sheets>
    <sheet name="AS Results" sheetId="1" r:id="rId1"/>
    <sheet name="GCSE" sheetId="3" r:id="rId2"/>
    <sheet name="A Level" sheetId="4" r:id="rId3"/>
  </sheets>
  <calcPr calcId="145621"/>
</workbook>
</file>

<file path=xl/calcChain.xml><?xml version="1.0" encoding="utf-8"?>
<calcChain xmlns="http://schemas.openxmlformats.org/spreadsheetml/2006/main">
  <c r="K13" i="4" l="1"/>
  <c r="J13" i="4"/>
  <c r="M13" i="4" s="1"/>
  <c r="K12" i="4"/>
  <c r="J12" i="4"/>
  <c r="M12" i="4" s="1"/>
  <c r="M11" i="4"/>
  <c r="K11" i="4"/>
  <c r="J11" i="4"/>
  <c r="K10" i="4"/>
  <c r="J10" i="4"/>
  <c r="M10" i="4" s="1"/>
  <c r="K9" i="4"/>
  <c r="J9" i="4"/>
  <c r="M9" i="4" s="1"/>
  <c r="M8" i="4"/>
  <c r="K8" i="4"/>
  <c r="J8" i="4"/>
  <c r="K7" i="4"/>
  <c r="J7" i="4"/>
  <c r="M7" i="4" s="1"/>
  <c r="K6" i="4"/>
  <c r="J6" i="4"/>
  <c r="L7" i="4" l="1"/>
  <c r="J14" i="4"/>
  <c r="L11" i="4"/>
  <c r="J15" i="4"/>
  <c r="K15" i="4"/>
  <c r="L10" i="4"/>
  <c r="M6" i="4"/>
  <c r="M15" i="4" s="1"/>
  <c r="L9" i="4"/>
  <c r="L13" i="4"/>
  <c r="L8" i="4"/>
  <c r="L12" i="4"/>
  <c r="K14" i="4"/>
  <c r="L14" i="4" s="1"/>
  <c r="L6" i="4"/>
  <c r="L15" i="4" s="1"/>
  <c r="N12" i="3"/>
  <c r="L12" i="3"/>
  <c r="K12" i="3"/>
  <c r="N11" i="3"/>
  <c r="L11" i="3"/>
  <c r="K11" i="3"/>
  <c r="P11" i="3" s="1"/>
  <c r="N10" i="3"/>
  <c r="L10" i="3"/>
  <c r="K10" i="3"/>
  <c r="P10" i="3" s="1"/>
  <c r="N9" i="3"/>
  <c r="L9" i="3"/>
  <c r="K9" i="3"/>
  <c r="P9" i="3" s="1"/>
  <c r="N8" i="3"/>
  <c r="L8" i="3"/>
  <c r="K8" i="3"/>
  <c r="N7" i="3"/>
  <c r="L7" i="3"/>
  <c r="K7" i="3"/>
  <c r="P7" i="3" s="1"/>
  <c r="N6" i="3"/>
  <c r="L6" i="3"/>
  <c r="K6" i="3"/>
  <c r="O6" i="3" s="1"/>
  <c r="N5" i="3"/>
  <c r="L5" i="3"/>
  <c r="K5" i="3"/>
  <c r="O9" i="3" l="1"/>
  <c r="M7" i="3"/>
  <c r="O7" i="3"/>
  <c r="M9" i="3"/>
  <c r="K14" i="3"/>
  <c r="M11" i="3"/>
  <c r="O11" i="3"/>
  <c r="M8" i="3"/>
  <c r="O12" i="3"/>
  <c r="L13" i="3"/>
  <c r="L14" i="3"/>
  <c r="M5" i="3"/>
  <c r="M12" i="3"/>
  <c r="N14" i="3"/>
  <c r="O8" i="3"/>
  <c r="M10" i="3"/>
  <c r="O10" i="3"/>
  <c r="P6" i="3"/>
  <c r="P8" i="3"/>
  <c r="P12" i="3"/>
  <c r="N13" i="3"/>
  <c r="O5" i="3"/>
  <c r="M6" i="3"/>
  <c r="K13" i="3"/>
  <c r="P5" i="3"/>
  <c r="I14" i="1"/>
  <c r="L14" i="1" s="1"/>
  <c r="J14" i="1"/>
  <c r="K14" i="1" l="1"/>
  <c r="M14" i="3"/>
  <c r="M13" i="3"/>
  <c r="O14" i="3"/>
  <c r="O13" i="3"/>
  <c r="P14" i="3"/>
  <c r="J13" i="1"/>
  <c r="I13" i="1"/>
  <c r="L13" i="1" s="1"/>
  <c r="J12" i="1"/>
  <c r="I12" i="1"/>
  <c r="L12" i="1" s="1"/>
  <c r="J11" i="1"/>
  <c r="I11" i="1"/>
  <c r="L11" i="1" s="1"/>
  <c r="J10" i="1"/>
  <c r="I10" i="1"/>
  <c r="L10" i="1" s="1"/>
  <c r="J9" i="1"/>
  <c r="I9" i="1"/>
  <c r="L9" i="1" s="1"/>
  <c r="J8" i="1"/>
  <c r="I8" i="1"/>
  <c r="L8" i="1" s="1"/>
  <c r="J7" i="1"/>
  <c r="I7" i="1"/>
  <c r="J15" i="1" l="1"/>
  <c r="I15" i="1"/>
  <c r="K9" i="1"/>
  <c r="K13" i="1"/>
  <c r="I16" i="1"/>
  <c r="K8" i="1"/>
  <c r="K12" i="1"/>
  <c r="J16" i="1"/>
  <c r="K11" i="1"/>
  <c r="L7" i="1"/>
  <c r="L16" i="1" s="1"/>
  <c r="K10" i="1"/>
  <c r="K7" i="1"/>
  <c r="K16" i="1" l="1"/>
  <c r="K15" i="1"/>
</calcChain>
</file>

<file path=xl/sharedStrings.xml><?xml version="1.0" encoding="utf-8"?>
<sst xmlns="http://schemas.openxmlformats.org/spreadsheetml/2006/main" count="57" uniqueCount="30">
  <si>
    <t>GCSE Gujarati Results</t>
  </si>
  <si>
    <t>Year</t>
  </si>
  <si>
    <t>A*</t>
  </si>
  <si>
    <t>A</t>
  </si>
  <si>
    <t>B</t>
  </si>
  <si>
    <t>C</t>
  </si>
  <si>
    <t>D</t>
  </si>
  <si>
    <t>E</t>
  </si>
  <si>
    <t>F</t>
  </si>
  <si>
    <t>G</t>
  </si>
  <si>
    <t>U</t>
  </si>
  <si>
    <t>Total</t>
  </si>
  <si>
    <t>A*+A</t>
  </si>
  <si>
    <t>A*- C</t>
  </si>
  <si>
    <t>A.P.S</t>
  </si>
  <si>
    <t>Grade</t>
  </si>
  <si>
    <t xml:space="preserve">Points </t>
  </si>
  <si>
    <t>%</t>
  </si>
  <si>
    <t>Numbers</t>
  </si>
  <si>
    <t>AS Level Gujarati Results</t>
  </si>
  <si>
    <t>A+ B</t>
  </si>
  <si>
    <t>Points</t>
  </si>
  <si>
    <t>A2 Level Gujarati Results</t>
  </si>
  <si>
    <t>A*-B</t>
  </si>
  <si>
    <t>APS</t>
  </si>
  <si>
    <t>Averages</t>
  </si>
  <si>
    <t>Totals</t>
  </si>
  <si>
    <t>Average</t>
  </si>
  <si>
    <t>Number</t>
  </si>
  <si>
    <t>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</si>
</sst>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2" fontId="6" fillId="0" borderId="1" xfId="0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/>
    <xf numFmtId="1" fontId="6" fillId="0" borderId="1" xfId="0" applyNumberFormat="1" applyFont="1" applyFill="1" applyBorder="1"/>
    <xf numFmtId="1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0" borderId="0" xfId="0" applyFont="1" applyAlignment="1"/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Border="1"/>
    <xf numFmtId="164" fontId="4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6" fillId="0" borderId="0" xfId="0" applyFont="1" applyBorder="1"/>
    <xf numFmtId="1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5" fillId="0" borderId="4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4" fillId="0" borderId="1" xfId="0" applyFont="1" applyBorder="1" applyAlignment="1"/>
    <xf numFmtId="0" fontId="6" fillId="0" borderId="0" xfId="0" applyFont="1" applyFill="1" applyBorder="1"/>
    <xf numFmtId="0" fontId="5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9"/>
  <sheetViews>
    <sheetView workbookViewId="0">
      <selection activeCell="H24" sqref="H24"/>
    </sheetView>
  </sheetViews>
  <sheetFormatPr defaultRowHeight="15" x14ac:dyDescent="0.25"/>
  <cols>
    <col min="1" max="1" width="11" bestFit="1" customWidth="1"/>
    <col min="2" max="2" width="12.5703125" bestFit="1" customWidth="1"/>
    <col min="3" max="7" width="8.140625" bestFit="1" customWidth="1"/>
    <col min="8" max="8" width="11" bestFit="1" customWidth="1"/>
    <col min="9" max="10" width="9.5703125" bestFit="1" customWidth="1"/>
    <col min="11" max="12" width="7.85546875" bestFit="1" customWidth="1"/>
    <col min="13" max="13" width="7.28515625" bestFit="1" customWidth="1"/>
    <col min="14" max="14" width="9.28515625" bestFit="1" customWidth="1"/>
    <col min="15" max="15" width="6.85546875" bestFit="1" customWidth="1"/>
    <col min="16" max="16" width="6.7109375" bestFit="1" customWidth="1"/>
  </cols>
  <sheetData>
    <row r="3" spans="1:18" ht="21" x14ac:dyDescent="0.35">
      <c r="B3" s="59" t="s">
        <v>19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3"/>
    </row>
    <row r="4" spans="1:18" ht="2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4"/>
      <c r="Q4" s="5"/>
      <c r="R4" s="5"/>
    </row>
    <row r="5" spans="1:18" s="2" customFormat="1" ht="21" x14ac:dyDescent="0.35">
      <c r="A5"/>
      <c r="B5" s="29" t="s">
        <v>15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10</v>
      </c>
      <c r="I5" s="40" t="s">
        <v>11</v>
      </c>
      <c r="J5" s="8" t="s">
        <v>20</v>
      </c>
      <c r="K5" s="8" t="s">
        <v>17</v>
      </c>
      <c r="L5" s="8" t="s">
        <v>14</v>
      </c>
      <c r="M5" s="4"/>
      <c r="N5"/>
      <c r="O5"/>
      <c r="P5"/>
    </row>
    <row r="6" spans="1:18" s="2" customFormat="1" ht="21" x14ac:dyDescent="0.35">
      <c r="A6"/>
      <c r="B6" s="29" t="s">
        <v>21</v>
      </c>
      <c r="C6" s="41">
        <v>5</v>
      </c>
      <c r="D6" s="41">
        <v>4</v>
      </c>
      <c r="E6" s="41">
        <v>3</v>
      </c>
      <c r="F6" s="41">
        <v>2</v>
      </c>
      <c r="G6" s="41">
        <v>1</v>
      </c>
      <c r="H6" s="41">
        <v>0</v>
      </c>
      <c r="I6" s="42"/>
      <c r="J6" s="10"/>
      <c r="K6" s="10"/>
      <c r="L6" s="10"/>
      <c r="M6"/>
      <c r="N6"/>
      <c r="O6"/>
      <c r="P6"/>
    </row>
    <row r="7" spans="1:18" s="2" customFormat="1" ht="21" x14ac:dyDescent="0.35">
      <c r="A7"/>
      <c r="B7" s="30">
        <v>2010</v>
      </c>
      <c r="C7" s="9">
        <v>16</v>
      </c>
      <c r="D7" s="9">
        <v>8</v>
      </c>
      <c r="E7" s="9">
        <v>7</v>
      </c>
      <c r="F7" s="9">
        <v>3</v>
      </c>
      <c r="G7" s="9">
        <v>2</v>
      </c>
      <c r="H7" s="9">
        <v>0</v>
      </c>
      <c r="I7" s="9">
        <f t="shared" ref="I7:I14" si="0">SUM(C7:H7)</f>
        <v>36</v>
      </c>
      <c r="J7" s="8">
        <f t="shared" ref="J7:J14" si="1">C7+D7</f>
        <v>24</v>
      </c>
      <c r="K7" s="43">
        <f t="shared" ref="K7:K15" si="2">J7/I7*100</f>
        <v>66.666666666666657</v>
      </c>
      <c r="L7" s="44">
        <f t="shared" ref="L7:L14" si="3">((C7*5)+(D7*4)+(E7*3)+(F7*2)+(G7*1))/I7</f>
        <v>3.9166666666666665</v>
      </c>
      <c r="M7"/>
      <c r="N7"/>
      <c r="O7"/>
      <c r="P7"/>
    </row>
    <row r="8" spans="1:18" s="2" customFormat="1" ht="21" x14ac:dyDescent="0.35">
      <c r="A8"/>
      <c r="B8" s="8">
        <v>2011</v>
      </c>
      <c r="C8" s="9">
        <v>12</v>
      </c>
      <c r="D8" s="9">
        <v>15</v>
      </c>
      <c r="E8" s="9">
        <v>3</v>
      </c>
      <c r="F8" s="9">
        <v>5</v>
      </c>
      <c r="G8" s="9">
        <v>1</v>
      </c>
      <c r="H8" s="9">
        <v>1</v>
      </c>
      <c r="I8" s="9">
        <f t="shared" si="0"/>
        <v>37</v>
      </c>
      <c r="J8" s="8">
        <f t="shared" si="1"/>
        <v>27</v>
      </c>
      <c r="K8" s="43">
        <f t="shared" si="2"/>
        <v>72.972972972972968</v>
      </c>
      <c r="L8" s="44">
        <f t="shared" si="3"/>
        <v>3.7837837837837838</v>
      </c>
      <c r="M8"/>
      <c r="N8"/>
      <c r="O8"/>
      <c r="P8"/>
    </row>
    <row r="9" spans="1:18" s="2" customFormat="1" ht="21" x14ac:dyDescent="0.35">
      <c r="A9"/>
      <c r="B9" s="8">
        <v>2012</v>
      </c>
      <c r="C9" s="9">
        <v>20</v>
      </c>
      <c r="D9" s="9">
        <v>6</v>
      </c>
      <c r="E9" s="9">
        <v>9</v>
      </c>
      <c r="F9" s="9">
        <v>3</v>
      </c>
      <c r="G9" s="9">
        <v>0</v>
      </c>
      <c r="H9" s="9">
        <v>3</v>
      </c>
      <c r="I9" s="9">
        <f t="shared" si="0"/>
        <v>41</v>
      </c>
      <c r="J9" s="8">
        <f t="shared" si="1"/>
        <v>26</v>
      </c>
      <c r="K9" s="43">
        <f t="shared" si="2"/>
        <v>63.414634146341463</v>
      </c>
      <c r="L9" s="44">
        <f t="shared" si="3"/>
        <v>3.8292682926829267</v>
      </c>
      <c r="M9"/>
      <c r="N9"/>
      <c r="O9"/>
      <c r="P9"/>
    </row>
    <row r="10" spans="1:18" s="2" customFormat="1" ht="21" x14ac:dyDescent="0.35">
      <c r="A10"/>
      <c r="B10" s="8">
        <v>2013</v>
      </c>
      <c r="C10" s="9">
        <v>9</v>
      </c>
      <c r="D10" s="9">
        <v>6</v>
      </c>
      <c r="E10" s="9">
        <v>4</v>
      </c>
      <c r="F10" s="9">
        <v>3</v>
      </c>
      <c r="G10" s="9">
        <v>1</v>
      </c>
      <c r="H10" s="9">
        <v>0</v>
      </c>
      <c r="I10" s="9">
        <f t="shared" si="0"/>
        <v>23</v>
      </c>
      <c r="J10" s="8">
        <f t="shared" si="1"/>
        <v>15</v>
      </c>
      <c r="K10" s="43">
        <f t="shared" si="2"/>
        <v>65.217391304347828</v>
      </c>
      <c r="L10" s="44">
        <f t="shared" si="3"/>
        <v>3.8260869565217392</v>
      </c>
      <c r="M10" s="3"/>
      <c r="N10"/>
      <c r="O10"/>
      <c r="P10"/>
    </row>
    <row r="11" spans="1:18" s="2" customFormat="1" ht="21" x14ac:dyDescent="0.35">
      <c r="A11"/>
      <c r="B11" s="8">
        <v>2014</v>
      </c>
      <c r="C11" s="9">
        <v>8</v>
      </c>
      <c r="D11" s="9">
        <v>12</v>
      </c>
      <c r="E11" s="9">
        <v>3</v>
      </c>
      <c r="F11" s="9">
        <v>1</v>
      </c>
      <c r="G11" s="9">
        <v>3</v>
      </c>
      <c r="H11" s="9">
        <v>1</v>
      </c>
      <c r="I11" s="9">
        <f t="shared" si="0"/>
        <v>28</v>
      </c>
      <c r="J11" s="8">
        <f t="shared" si="1"/>
        <v>20</v>
      </c>
      <c r="K11" s="43">
        <f t="shared" si="2"/>
        <v>71.428571428571431</v>
      </c>
      <c r="L11" s="44">
        <f t="shared" si="3"/>
        <v>3.6428571428571428</v>
      </c>
      <c r="M11" s="1"/>
      <c r="N11"/>
      <c r="O11"/>
      <c r="P11"/>
    </row>
    <row r="12" spans="1:18" s="2" customFormat="1" ht="21" x14ac:dyDescent="0.35">
      <c r="A12"/>
      <c r="B12" s="8">
        <v>2015</v>
      </c>
      <c r="C12" s="9">
        <v>6</v>
      </c>
      <c r="D12" s="9">
        <v>5</v>
      </c>
      <c r="E12" s="9">
        <v>5</v>
      </c>
      <c r="F12" s="9">
        <v>2</v>
      </c>
      <c r="G12" s="9">
        <v>2</v>
      </c>
      <c r="H12" s="9">
        <v>1</v>
      </c>
      <c r="I12" s="9">
        <f t="shared" si="0"/>
        <v>21</v>
      </c>
      <c r="J12" s="8">
        <f t="shared" si="1"/>
        <v>11</v>
      </c>
      <c r="K12" s="43">
        <f t="shared" si="2"/>
        <v>52.380952380952387</v>
      </c>
      <c r="L12" s="44">
        <f t="shared" si="3"/>
        <v>3.3809523809523809</v>
      </c>
      <c r="M12"/>
      <c r="N12"/>
      <c r="O12"/>
      <c r="P12"/>
    </row>
    <row r="13" spans="1:18" s="2" customFormat="1" ht="21" x14ac:dyDescent="0.35">
      <c r="A13"/>
      <c r="B13" s="8">
        <v>2016</v>
      </c>
      <c r="C13" s="9">
        <v>10</v>
      </c>
      <c r="D13" s="9">
        <v>3</v>
      </c>
      <c r="E13" s="9">
        <v>3</v>
      </c>
      <c r="F13" s="9">
        <v>3</v>
      </c>
      <c r="G13" s="9">
        <v>2</v>
      </c>
      <c r="H13" s="9">
        <v>0</v>
      </c>
      <c r="I13" s="9">
        <f t="shared" si="0"/>
        <v>21</v>
      </c>
      <c r="J13" s="8">
        <f t="shared" si="1"/>
        <v>13</v>
      </c>
      <c r="K13" s="43">
        <f t="shared" si="2"/>
        <v>61.904761904761905</v>
      </c>
      <c r="L13" s="44">
        <f t="shared" si="3"/>
        <v>3.7619047619047619</v>
      </c>
      <c r="M13"/>
      <c r="N13"/>
      <c r="O13"/>
      <c r="P13"/>
    </row>
    <row r="14" spans="1:18" s="2" customFormat="1" ht="21" x14ac:dyDescent="0.35">
      <c r="A14"/>
      <c r="B14" s="8">
        <v>2017</v>
      </c>
      <c r="C14" s="9">
        <v>24</v>
      </c>
      <c r="D14" s="9">
        <v>4</v>
      </c>
      <c r="E14" s="9">
        <v>4</v>
      </c>
      <c r="F14" s="9">
        <v>2</v>
      </c>
      <c r="G14" s="9">
        <v>2</v>
      </c>
      <c r="H14" s="9">
        <v>2</v>
      </c>
      <c r="I14" s="9">
        <f t="shared" si="0"/>
        <v>38</v>
      </c>
      <c r="J14" s="8">
        <f t="shared" si="1"/>
        <v>28</v>
      </c>
      <c r="K14" s="43">
        <f t="shared" si="2"/>
        <v>73.68421052631578</v>
      </c>
      <c r="L14" s="44">
        <f t="shared" si="3"/>
        <v>4.0526315789473681</v>
      </c>
      <c r="M14"/>
      <c r="N14"/>
      <c r="O14"/>
      <c r="P14"/>
    </row>
    <row r="15" spans="1:18" s="2" customFormat="1" ht="21" x14ac:dyDescent="0.35">
      <c r="A15"/>
      <c r="B15" s="10"/>
      <c r="C15" s="11"/>
      <c r="D15" s="11"/>
      <c r="E15" s="11"/>
      <c r="F15" s="11"/>
      <c r="G15" s="11"/>
      <c r="H15" s="9" t="s">
        <v>26</v>
      </c>
      <c r="I15" s="9">
        <f>SUM(I7:I14)</f>
        <v>245</v>
      </c>
      <c r="J15" s="8">
        <f>SUM(J7:J14)</f>
        <v>164</v>
      </c>
      <c r="K15" s="43">
        <f t="shared" si="2"/>
        <v>66.938775510204081</v>
      </c>
      <c r="L15" s="44"/>
      <c r="M15"/>
      <c r="N15"/>
      <c r="O15"/>
      <c r="P15"/>
    </row>
    <row r="16" spans="1:18" s="2" customFormat="1" ht="21" x14ac:dyDescent="0.35">
      <c r="A16"/>
      <c r="B16" s="12"/>
      <c r="C16" s="12"/>
      <c r="D16" s="12"/>
      <c r="E16" s="12"/>
      <c r="F16" s="12"/>
      <c r="G16" s="12"/>
      <c r="H16" s="55" t="s">
        <v>27</v>
      </c>
      <c r="I16" s="45">
        <f>SUM(I7:I13)/7</f>
        <v>29.571428571428573</v>
      </c>
      <c r="J16" s="45">
        <f>SUM(J7:J13)/7</f>
        <v>19.428571428571427</v>
      </c>
      <c r="K16" s="46">
        <f>SUM(K7:K13)/7</f>
        <v>64.855135829230662</v>
      </c>
      <c r="L16" s="47">
        <f>SUM(L7:L13)/7</f>
        <v>3.7345028550527712</v>
      </c>
      <c r="M16"/>
      <c r="N16"/>
      <c r="O16"/>
      <c r="P16"/>
    </row>
    <row r="18" spans="2:10" ht="21" x14ac:dyDescent="0.35">
      <c r="B18" s="8" t="s">
        <v>1</v>
      </c>
      <c r="C18" s="8">
        <v>2010</v>
      </c>
      <c r="D18" s="8">
        <v>2011</v>
      </c>
      <c r="E18" s="8">
        <v>2012</v>
      </c>
      <c r="F18" s="8">
        <v>2013</v>
      </c>
      <c r="G18" s="8">
        <v>2014</v>
      </c>
      <c r="H18" s="8">
        <v>2015</v>
      </c>
      <c r="I18" s="8">
        <v>2016</v>
      </c>
      <c r="J18" s="28">
        <v>2017</v>
      </c>
    </row>
    <row r="19" spans="2:10" ht="21" x14ac:dyDescent="0.35">
      <c r="B19" s="8" t="s">
        <v>18</v>
      </c>
      <c r="C19" s="8">
        <v>36</v>
      </c>
      <c r="D19" s="8">
        <v>37</v>
      </c>
      <c r="E19" s="8">
        <v>41</v>
      </c>
      <c r="F19" s="8">
        <v>23</v>
      </c>
      <c r="G19" s="8">
        <v>28</v>
      </c>
      <c r="H19" s="8">
        <v>21</v>
      </c>
      <c r="I19" s="8">
        <v>21</v>
      </c>
      <c r="J19" s="28">
        <v>38</v>
      </c>
    </row>
  </sheetData>
  <mergeCells count="1">
    <mergeCell ref="B3:L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K20" sqref="K20"/>
    </sheetView>
  </sheetViews>
  <sheetFormatPr defaultRowHeight="15" x14ac:dyDescent="0.25"/>
  <cols>
    <col min="1" max="1" width="11.140625" bestFit="1" customWidth="1"/>
    <col min="2" max="9" width="7" bestFit="1" customWidth="1"/>
    <col min="10" max="10" width="9.5703125" bestFit="1" customWidth="1"/>
    <col min="11" max="11" width="8.5703125" bestFit="1" customWidth="1"/>
    <col min="12" max="12" width="8.140625" bestFit="1" customWidth="1"/>
    <col min="13" max="13" width="7.28515625" bestFit="1" customWidth="1"/>
    <col min="14" max="14" width="8.140625" bestFit="1" customWidth="1"/>
    <col min="15" max="16" width="7.28515625" bestFit="1" customWidth="1"/>
  </cols>
  <sheetData>
    <row r="1" spans="1:16" ht="23.25" x14ac:dyDescent="0.3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18.7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3.25" x14ac:dyDescent="0.35">
      <c r="A3" s="34" t="s">
        <v>15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4" t="s">
        <v>11</v>
      </c>
      <c r="L3" s="13" t="s">
        <v>12</v>
      </c>
      <c r="M3" s="13" t="s">
        <v>17</v>
      </c>
      <c r="N3" s="13" t="s">
        <v>13</v>
      </c>
      <c r="O3" s="13" t="s">
        <v>17</v>
      </c>
      <c r="P3" s="13" t="s">
        <v>14</v>
      </c>
    </row>
    <row r="4" spans="1:16" ht="23.25" x14ac:dyDescent="0.35">
      <c r="A4" s="34" t="s">
        <v>16</v>
      </c>
      <c r="B4" s="13">
        <v>8</v>
      </c>
      <c r="C4" s="13">
        <v>7</v>
      </c>
      <c r="D4" s="13">
        <v>6</v>
      </c>
      <c r="E4" s="13">
        <v>5</v>
      </c>
      <c r="F4" s="13">
        <v>4</v>
      </c>
      <c r="G4" s="13">
        <v>3</v>
      </c>
      <c r="H4" s="13">
        <v>2</v>
      </c>
      <c r="I4" s="13">
        <v>1</v>
      </c>
      <c r="J4" s="13">
        <v>0</v>
      </c>
      <c r="K4" s="15"/>
      <c r="L4" s="16"/>
      <c r="M4" s="16"/>
      <c r="N4" s="16"/>
      <c r="O4" s="16"/>
      <c r="P4" s="15"/>
    </row>
    <row r="5" spans="1:16" ht="23.25" x14ac:dyDescent="0.35">
      <c r="A5" s="13">
        <v>2010</v>
      </c>
      <c r="B5" s="17">
        <v>82</v>
      </c>
      <c r="C5" s="17">
        <v>175</v>
      </c>
      <c r="D5" s="17">
        <v>233</v>
      </c>
      <c r="E5" s="17">
        <v>178</v>
      </c>
      <c r="F5" s="17">
        <v>54</v>
      </c>
      <c r="G5" s="17">
        <v>13</v>
      </c>
      <c r="H5" s="17">
        <v>2</v>
      </c>
      <c r="I5" s="17">
        <v>0</v>
      </c>
      <c r="J5" s="17">
        <v>0</v>
      </c>
      <c r="K5" s="18">
        <f t="shared" ref="K5:K12" si="0">SUM(B5:J5)</f>
        <v>737</v>
      </c>
      <c r="L5" s="17">
        <f t="shared" ref="L5:L12" si="1">B5+C5</f>
        <v>257</v>
      </c>
      <c r="M5" s="19">
        <f t="shared" ref="M5:M13" si="2">L5/K5*100</f>
        <v>34.871099050203533</v>
      </c>
      <c r="N5" s="17">
        <f t="shared" ref="N5:N12" si="3">B5+C5+D5+E5</f>
        <v>668</v>
      </c>
      <c r="O5" s="19">
        <f t="shared" ref="O5:O13" si="4">N5/K5*100</f>
        <v>90.637720488466755</v>
      </c>
      <c r="P5" s="20">
        <f t="shared" ref="P5:P12" si="5">((B5*8)+(C5*7)+(D5*6)+(E5*5)+(F5*4)+(G5*3)+(H5*2)+(I5*1))/K5</f>
        <v>6.0081411126187243</v>
      </c>
    </row>
    <row r="6" spans="1:16" ht="23.25" x14ac:dyDescent="0.35">
      <c r="A6" s="13">
        <v>2011</v>
      </c>
      <c r="B6" s="17">
        <v>33</v>
      </c>
      <c r="C6" s="17">
        <v>212</v>
      </c>
      <c r="D6" s="17">
        <v>215</v>
      </c>
      <c r="E6" s="17">
        <v>115</v>
      </c>
      <c r="F6" s="17">
        <v>45</v>
      </c>
      <c r="G6" s="17">
        <v>12</v>
      </c>
      <c r="H6" s="17">
        <v>3</v>
      </c>
      <c r="I6" s="17">
        <v>1</v>
      </c>
      <c r="J6" s="17">
        <v>0</v>
      </c>
      <c r="K6" s="18">
        <f t="shared" si="0"/>
        <v>636</v>
      </c>
      <c r="L6" s="17">
        <f t="shared" si="1"/>
        <v>245</v>
      </c>
      <c r="M6" s="19">
        <f t="shared" si="2"/>
        <v>38.522012578616355</v>
      </c>
      <c r="N6" s="17">
        <f t="shared" si="3"/>
        <v>575</v>
      </c>
      <c r="O6" s="19">
        <f t="shared" si="4"/>
        <v>90.408805031446533</v>
      </c>
      <c r="P6" s="20">
        <f t="shared" si="5"/>
        <v>6.0314465408805029</v>
      </c>
    </row>
    <row r="7" spans="1:16" ht="23.25" x14ac:dyDescent="0.35">
      <c r="A7" s="13">
        <v>2012</v>
      </c>
      <c r="B7" s="17">
        <v>49</v>
      </c>
      <c r="C7" s="17">
        <v>190</v>
      </c>
      <c r="D7" s="17">
        <v>208</v>
      </c>
      <c r="E7" s="17">
        <v>126</v>
      </c>
      <c r="F7" s="17">
        <v>45</v>
      </c>
      <c r="G7" s="17">
        <v>9</v>
      </c>
      <c r="H7" s="17">
        <v>3</v>
      </c>
      <c r="I7" s="17">
        <v>5</v>
      </c>
      <c r="J7" s="17">
        <v>0</v>
      </c>
      <c r="K7" s="18">
        <f t="shared" si="0"/>
        <v>635</v>
      </c>
      <c r="L7" s="17">
        <f t="shared" si="1"/>
        <v>239</v>
      </c>
      <c r="M7" s="19">
        <f t="shared" si="2"/>
        <v>37.637795275590555</v>
      </c>
      <c r="N7" s="17">
        <f t="shared" si="3"/>
        <v>573</v>
      </c>
      <c r="O7" s="19">
        <f t="shared" si="4"/>
        <v>90.236220472440948</v>
      </c>
      <c r="P7" s="20">
        <f t="shared" si="5"/>
        <v>6.0125984251968507</v>
      </c>
    </row>
    <row r="8" spans="1:16" ht="23.25" x14ac:dyDescent="0.35">
      <c r="A8" s="13">
        <v>2013</v>
      </c>
      <c r="B8" s="17">
        <v>56</v>
      </c>
      <c r="C8" s="17">
        <v>173</v>
      </c>
      <c r="D8" s="17">
        <v>218</v>
      </c>
      <c r="E8" s="17">
        <v>84</v>
      </c>
      <c r="F8" s="17">
        <v>38</v>
      </c>
      <c r="G8" s="17">
        <v>16</v>
      </c>
      <c r="H8" s="17">
        <v>4</v>
      </c>
      <c r="I8" s="17">
        <v>2</v>
      </c>
      <c r="J8" s="17">
        <v>1</v>
      </c>
      <c r="K8" s="18">
        <f t="shared" si="0"/>
        <v>592</v>
      </c>
      <c r="L8" s="17">
        <f t="shared" si="1"/>
        <v>229</v>
      </c>
      <c r="M8" s="19">
        <f t="shared" si="2"/>
        <v>38.682432432432435</v>
      </c>
      <c r="N8" s="17">
        <f t="shared" si="3"/>
        <v>531</v>
      </c>
      <c r="O8" s="19">
        <f t="shared" si="4"/>
        <v>89.695945945945937</v>
      </c>
      <c r="P8" s="20">
        <f t="shared" si="5"/>
        <v>6.0760135135135132</v>
      </c>
    </row>
    <row r="9" spans="1:16" ht="23.25" x14ac:dyDescent="0.35">
      <c r="A9" s="13">
        <v>2014</v>
      </c>
      <c r="B9" s="17">
        <v>71</v>
      </c>
      <c r="C9" s="17">
        <v>178</v>
      </c>
      <c r="D9" s="17">
        <v>192</v>
      </c>
      <c r="E9" s="17">
        <v>118</v>
      </c>
      <c r="F9" s="17">
        <v>41</v>
      </c>
      <c r="G9" s="17">
        <v>21</v>
      </c>
      <c r="H9" s="17">
        <v>3</v>
      </c>
      <c r="I9" s="17">
        <v>1</v>
      </c>
      <c r="J9" s="17">
        <v>0</v>
      </c>
      <c r="K9" s="18">
        <f t="shared" si="0"/>
        <v>625</v>
      </c>
      <c r="L9" s="17">
        <f t="shared" si="1"/>
        <v>249</v>
      </c>
      <c r="M9" s="19">
        <f t="shared" si="2"/>
        <v>39.839999999999996</v>
      </c>
      <c r="N9" s="17">
        <f t="shared" si="3"/>
        <v>559</v>
      </c>
      <c r="O9" s="19">
        <f t="shared" si="4"/>
        <v>89.44</v>
      </c>
      <c r="P9" s="20">
        <f t="shared" si="5"/>
        <v>6.0640000000000001</v>
      </c>
    </row>
    <row r="10" spans="1:16" ht="23.25" x14ac:dyDescent="0.35">
      <c r="A10" s="13">
        <v>2015</v>
      </c>
      <c r="B10" s="17">
        <v>65</v>
      </c>
      <c r="C10" s="17">
        <v>150</v>
      </c>
      <c r="D10" s="17">
        <v>179</v>
      </c>
      <c r="E10" s="17">
        <v>100</v>
      </c>
      <c r="F10" s="17">
        <v>42</v>
      </c>
      <c r="G10" s="17">
        <v>18</v>
      </c>
      <c r="H10" s="17">
        <v>7</v>
      </c>
      <c r="I10" s="17">
        <v>2</v>
      </c>
      <c r="J10" s="17">
        <v>2</v>
      </c>
      <c r="K10" s="18">
        <f t="shared" si="0"/>
        <v>565</v>
      </c>
      <c r="L10" s="17">
        <f t="shared" si="1"/>
        <v>215</v>
      </c>
      <c r="M10" s="19">
        <f t="shared" si="2"/>
        <v>38.053097345132741</v>
      </c>
      <c r="N10" s="17">
        <f t="shared" si="3"/>
        <v>494</v>
      </c>
      <c r="O10" s="19">
        <f t="shared" si="4"/>
        <v>87.43362831858407</v>
      </c>
      <c r="P10" s="20">
        <f t="shared" si="5"/>
        <v>5.9858407079646021</v>
      </c>
    </row>
    <row r="11" spans="1:16" ht="23.25" x14ac:dyDescent="0.35">
      <c r="A11" s="13">
        <v>2016</v>
      </c>
      <c r="B11" s="17">
        <v>75</v>
      </c>
      <c r="C11" s="17">
        <v>170</v>
      </c>
      <c r="D11" s="17">
        <v>214</v>
      </c>
      <c r="E11" s="17">
        <v>101</v>
      </c>
      <c r="F11" s="17">
        <v>50</v>
      </c>
      <c r="G11" s="17">
        <v>23</v>
      </c>
      <c r="H11" s="17">
        <v>14</v>
      </c>
      <c r="I11" s="17">
        <v>3</v>
      </c>
      <c r="J11" s="17">
        <v>1</v>
      </c>
      <c r="K11" s="18">
        <f t="shared" si="0"/>
        <v>651</v>
      </c>
      <c r="L11" s="17">
        <f t="shared" si="1"/>
        <v>245</v>
      </c>
      <c r="M11" s="19">
        <f t="shared" si="2"/>
        <v>37.634408602150536</v>
      </c>
      <c r="N11" s="17">
        <f t="shared" si="3"/>
        <v>560</v>
      </c>
      <c r="O11" s="19">
        <f t="shared" si="4"/>
        <v>86.021505376344081</v>
      </c>
      <c r="P11" s="20">
        <f t="shared" si="5"/>
        <v>5.9585253456221201</v>
      </c>
    </row>
    <row r="12" spans="1:16" ht="23.25" x14ac:dyDescent="0.35">
      <c r="A12" s="13">
        <v>2017</v>
      </c>
      <c r="B12" s="17">
        <v>31</v>
      </c>
      <c r="C12" s="17">
        <v>165</v>
      </c>
      <c r="D12" s="17">
        <v>156</v>
      </c>
      <c r="E12" s="17">
        <v>98</v>
      </c>
      <c r="F12" s="17">
        <v>39</v>
      </c>
      <c r="G12" s="17">
        <v>14</v>
      </c>
      <c r="H12" s="17">
        <v>5</v>
      </c>
      <c r="I12" s="17">
        <v>8</v>
      </c>
      <c r="J12" s="17">
        <v>2</v>
      </c>
      <c r="K12" s="18">
        <f t="shared" si="0"/>
        <v>518</v>
      </c>
      <c r="L12" s="17">
        <f t="shared" si="1"/>
        <v>196</v>
      </c>
      <c r="M12" s="19">
        <f t="shared" si="2"/>
        <v>37.837837837837839</v>
      </c>
      <c r="N12" s="17">
        <f t="shared" si="3"/>
        <v>450</v>
      </c>
      <c r="O12" s="19">
        <f t="shared" si="4"/>
        <v>86.872586872586879</v>
      </c>
      <c r="P12" s="20">
        <f t="shared" si="5"/>
        <v>5.8783783783783781</v>
      </c>
    </row>
    <row r="13" spans="1:16" ht="23.25" x14ac:dyDescent="0.35">
      <c r="A13" s="21"/>
      <c r="F13" s="22"/>
      <c r="G13" s="22"/>
      <c r="H13" s="22"/>
      <c r="I13" s="22"/>
      <c r="J13" s="7" t="s">
        <v>26</v>
      </c>
      <c r="K13" s="18">
        <f>SUM(K5:K12)</f>
        <v>4959</v>
      </c>
      <c r="L13" s="17">
        <f>SUM(L5:L12)</f>
        <v>1875</v>
      </c>
      <c r="M13" s="19">
        <f t="shared" si="2"/>
        <v>37.810042347247432</v>
      </c>
      <c r="N13" s="17">
        <f>SUM(N5:N12)</f>
        <v>4410</v>
      </c>
      <c r="O13" s="19">
        <f t="shared" si="4"/>
        <v>88.929219600725958</v>
      </c>
      <c r="P13" s="20"/>
    </row>
    <row r="14" spans="1:16" ht="23.25" x14ac:dyDescent="0.35">
      <c r="A14" s="21"/>
      <c r="F14" s="21"/>
      <c r="G14" s="21"/>
      <c r="H14" s="21"/>
      <c r="I14" s="23"/>
      <c r="J14" s="54" t="s">
        <v>25</v>
      </c>
      <c r="K14" s="24">
        <f t="shared" ref="K14:P14" si="6">SUM(K5:K11)/7</f>
        <v>634.42857142857144</v>
      </c>
      <c r="L14" s="25">
        <f t="shared" si="6"/>
        <v>239.85714285714286</v>
      </c>
      <c r="M14" s="26">
        <f t="shared" si="6"/>
        <v>37.891549326303732</v>
      </c>
      <c r="N14" s="25">
        <f t="shared" si="6"/>
        <v>565.71428571428567</v>
      </c>
      <c r="O14" s="26">
        <f t="shared" si="6"/>
        <v>89.12483223331833</v>
      </c>
      <c r="P14" s="27">
        <f t="shared" si="6"/>
        <v>6.019509377970901</v>
      </c>
    </row>
    <row r="15" spans="1:16" ht="23.25" x14ac:dyDescent="0.35">
      <c r="A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ht="23.25" x14ac:dyDescent="0.35">
      <c r="A16" s="6" t="s">
        <v>1</v>
      </c>
      <c r="B16" s="6">
        <v>2010</v>
      </c>
      <c r="C16" s="6">
        <v>2011</v>
      </c>
      <c r="D16" s="6">
        <v>2012</v>
      </c>
      <c r="E16" s="6">
        <v>2013</v>
      </c>
      <c r="F16" s="6">
        <v>2014</v>
      </c>
      <c r="G16" s="6">
        <v>2015</v>
      </c>
      <c r="H16" s="6">
        <v>2016</v>
      </c>
      <c r="I16" s="6">
        <v>2017</v>
      </c>
      <c r="J16" s="23"/>
      <c r="K16" s="23"/>
      <c r="L16" s="23"/>
      <c r="M16" s="23"/>
      <c r="N16" s="23"/>
      <c r="O16" s="23"/>
    </row>
    <row r="17" spans="1:15" ht="23.25" x14ac:dyDescent="0.35">
      <c r="A17" s="6" t="s">
        <v>28</v>
      </c>
      <c r="B17" s="6">
        <v>737</v>
      </c>
      <c r="C17" s="6">
        <v>636</v>
      </c>
      <c r="D17" s="6">
        <v>635</v>
      </c>
      <c r="E17" s="6">
        <v>592</v>
      </c>
      <c r="F17" s="6">
        <v>625</v>
      </c>
      <c r="G17" s="6">
        <v>565</v>
      </c>
      <c r="H17" s="6">
        <v>651</v>
      </c>
      <c r="I17" s="6">
        <v>518</v>
      </c>
      <c r="J17" s="23"/>
      <c r="K17" s="23"/>
      <c r="L17" s="23"/>
      <c r="M17" s="23"/>
      <c r="N17" s="23"/>
      <c r="O17" s="23"/>
    </row>
    <row r="18" spans="1:15" ht="23.25" x14ac:dyDescent="0.35">
      <c r="E18" s="21"/>
      <c r="F18" s="21"/>
      <c r="G18" s="21"/>
      <c r="H18" s="23"/>
      <c r="I18" s="23"/>
      <c r="J18" s="56"/>
      <c r="K18" s="56"/>
      <c r="L18" s="56"/>
      <c r="M18" s="56"/>
      <c r="N18" s="56"/>
      <c r="O18" s="56"/>
    </row>
    <row r="19" spans="1:15" ht="23.25" x14ac:dyDescent="0.35">
      <c r="E19" s="23"/>
      <c r="F19" s="23"/>
      <c r="G19" s="23"/>
      <c r="H19" s="23"/>
      <c r="I19" s="23"/>
      <c r="J19" s="23"/>
      <c r="K19" s="23"/>
      <c r="L19" s="57"/>
      <c r="M19" s="57"/>
      <c r="N19" s="57"/>
      <c r="O19" s="57"/>
    </row>
    <row r="20" spans="1:15" ht="23.25" x14ac:dyDescent="0.35">
      <c r="E20" s="23"/>
      <c r="F20" s="23"/>
      <c r="G20" s="23"/>
      <c r="H20" s="23"/>
      <c r="I20" s="23"/>
      <c r="J20" s="23"/>
      <c r="K20" s="23"/>
      <c r="L20" s="57"/>
      <c r="M20" s="57"/>
      <c r="N20" s="57"/>
      <c r="O20" s="57"/>
    </row>
    <row r="21" spans="1:15" ht="23.25" x14ac:dyDescent="0.35"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23.25" x14ac:dyDescent="0.35"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23.25" x14ac:dyDescent="0.35"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</sheetData>
  <mergeCells count="1">
    <mergeCell ref="A1:P1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tabSelected="1" workbookViewId="0">
      <selection activeCell="H22" sqref="H22"/>
    </sheetView>
  </sheetViews>
  <sheetFormatPr defaultRowHeight="15" x14ac:dyDescent="0.25"/>
  <sheetData>
    <row r="2" spans="2:13" ht="23.25" x14ac:dyDescent="0.35">
      <c r="B2" s="33" t="s">
        <v>22</v>
      </c>
      <c r="C2" s="33"/>
      <c r="D2" s="33"/>
      <c r="E2" s="33"/>
      <c r="F2" s="23"/>
      <c r="G2" s="23"/>
      <c r="H2" s="48"/>
      <c r="I2" s="49"/>
      <c r="J2" s="49"/>
      <c r="K2" s="50"/>
      <c r="L2" s="51"/>
      <c r="M2" s="23"/>
    </row>
    <row r="3" spans="2:13" ht="23.25" x14ac:dyDescent="0.35">
      <c r="B3" s="23"/>
      <c r="C3" s="23"/>
      <c r="D3" s="23"/>
      <c r="E3" s="23"/>
      <c r="F3" s="33"/>
      <c r="G3" s="33"/>
      <c r="H3" s="33"/>
      <c r="I3" s="33"/>
      <c r="J3" s="33"/>
      <c r="K3" s="33"/>
      <c r="L3" s="33"/>
      <c r="M3" s="33"/>
    </row>
    <row r="4" spans="2:13" ht="23.25" x14ac:dyDescent="0.35">
      <c r="B4" s="14" t="s">
        <v>15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10</v>
      </c>
      <c r="J4" s="14" t="s">
        <v>11</v>
      </c>
      <c r="K4" s="14" t="s">
        <v>23</v>
      </c>
      <c r="L4" s="14" t="s">
        <v>17</v>
      </c>
      <c r="M4" s="14" t="s">
        <v>24</v>
      </c>
    </row>
    <row r="5" spans="2:13" ht="23.25" x14ac:dyDescent="0.35">
      <c r="B5" s="52" t="s">
        <v>21</v>
      </c>
      <c r="C5" s="35">
        <v>12</v>
      </c>
      <c r="D5" s="35">
        <v>10</v>
      </c>
      <c r="E5" s="35">
        <v>8</v>
      </c>
      <c r="F5" s="35">
        <v>6</v>
      </c>
      <c r="G5" s="35">
        <v>4</v>
      </c>
      <c r="H5" s="35">
        <v>2</v>
      </c>
      <c r="I5" s="35">
        <v>0</v>
      </c>
      <c r="J5" s="16"/>
      <c r="K5" s="16"/>
      <c r="L5" s="16"/>
      <c r="M5" s="16"/>
    </row>
    <row r="6" spans="2:13" ht="23.25" x14ac:dyDescent="0.35">
      <c r="B6" s="13">
        <v>2010</v>
      </c>
      <c r="C6" s="13">
        <v>5</v>
      </c>
      <c r="D6" s="13">
        <v>7</v>
      </c>
      <c r="E6" s="13">
        <v>5</v>
      </c>
      <c r="F6" s="13">
        <v>1</v>
      </c>
      <c r="G6" s="13">
        <v>3</v>
      </c>
      <c r="H6" s="13">
        <v>1</v>
      </c>
      <c r="I6" s="13">
        <v>0</v>
      </c>
      <c r="J6" s="13">
        <f t="shared" ref="J6:J13" si="0">SUM(C6:I6)</f>
        <v>22</v>
      </c>
      <c r="K6" s="13">
        <f t="shared" ref="K6:K13" si="1">C6+D6+E6</f>
        <v>17</v>
      </c>
      <c r="L6" s="19">
        <f t="shared" ref="L6:L14" si="2">K6/J6*100</f>
        <v>77.272727272727266</v>
      </c>
      <c r="M6" s="36">
        <f t="shared" ref="M6:M13" si="3">((C6*12)+(D6*10)+(E6*8)+(F6*6)+(G6*4)+(H6*2))/J6</f>
        <v>8.6363636363636367</v>
      </c>
    </row>
    <row r="7" spans="2:13" ht="23.25" x14ac:dyDescent="0.35">
      <c r="B7" s="13">
        <v>2011</v>
      </c>
      <c r="C7" s="13">
        <v>8</v>
      </c>
      <c r="D7" s="13">
        <v>8</v>
      </c>
      <c r="E7" s="13">
        <v>8</v>
      </c>
      <c r="F7" s="13">
        <v>4</v>
      </c>
      <c r="G7" s="13">
        <v>3</v>
      </c>
      <c r="H7" s="13">
        <v>1</v>
      </c>
      <c r="I7" s="13">
        <v>1</v>
      </c>
      <c r="J7" s="13">
        <f t="shared" si="0"/>
        <v>33</v>
      </c>
      <c r="K7" s="13">
        <f t="shared" si="1"/>
        <v>24</v>
      </c>
      <c r="L7" s="19">
        <f t="shared" si="2"/>
        <v>72.727272727272734</v>
      </c>
      <c r="M7" s="36">
        <f t="shared" si="3"/>
        <v>8.4242424242424239</v>
      </c>
    </row>
    <row r="8" spans="2:13" ht="23.25" x14ac:dyDescent="0.35">
      <c r="B8" s="13">
        <v>2012</v>
      </c>
      <c r="C8" s="13">
        <v>3</v>
      </c>
      <c r="D8" s="13">
        <v>4</v>
      </c>
      <c r="E8" s="13">
        <v>3</v>
      </c>
      <c r="F8" s="13">
        <v>3</v>
      </c>
      <c r="G8" s="13">
        <v>3</v>
      </c>
      <c r="H8" s="13">
        <v>2</v>
      </c>
      <c r="I8" s="13">
        <v>1</v>
      </c>
      <c r="J8" s="13">
        <f t="shared" si="0"/>
        <v>19</v>
      </c>
      <c r="K8" s="13">
        <f t="shared" si="1"/>
        <v>10</v>
      </c>
      <c r="L8" s="19">
        <f t="shared" si="2"/>
        <v>52.631578947368418</v>
      </c>
      <c r="M8" s="36">
        <f t="shared" si="3"/>
        <v>7.0526315789473681</v>
      </c>
    </row>
    <row r="9" spans="2:13" ht="23.25" x14ac:dyDescent="0.35">
      <c r="B9" s="13">
        <v>2013</v>
      </c>
      <c r="C9" s="13">
        <v>1</v>
      </c>
      <c r="D9" s="13">
        <v>9</v>
      </c>
      <c r="E9" s="13">
        <v>1</v>
      </c>
      <c r="F9" s="13">
        <v>1</v>
      </c>
      <c r="G9" s="13">
        <v>2</v>
      </c>
      <c r="H9" s="13">
        <v>0</v>
      </c>
      <c r="I9" s="13">
        <v>1</v>
      </c>
      <c r="J9" s="13">
        <f t="shared" si="0"/>
        <v>15</v>
      </c>
      <c r="K9" s="13">
        <f t="shared" si="1"/>
        <v>11</v>
      </c>
      <c r="L9" s="19">
        <f t="shared" si="2"/>
        <v>73.333333333333329</v>
      </c>
      <c r="M9" s="36">
        <f t="shared" si="3"/>
        <v>8.2666666666666675</v>
      </c>
    </row>
    <row r="10" spans="2:13" ht="23.25" x14ac:dyDescent="0.35">
      <c r="B10" s="13">
        <v>2014</v>
      </c>
      <c r="C10" s="13">
        <v>2</v>
      </c>
      <c r="D10" s="13">
        <v>7</v>
      </c>
      <c r="E10" s="13">
        <v>5</v>
      </c>
      <c r="F10" s="13">
        <v>1</v>
      </c>
      <c r="G10" s="13">
        <v>2</v>
      </c>
      <c r="H10" s="13">
        <v>1</v>
      </c>
      <c r="I10" s="13">
        <v>1</v>
      </c>
      <c r="J10" s="13">
        <f t="shared" si="0"/>
        <v>19</v>
      </c>
      <c r="K10" s="13">
        <f t="shared" si="1"/>
        <v>14</v>
      </c>
      <c r="L10" s="19">
        <f t="shared" si="2"/>
        <v>73.68421052631578</v>
      </c>
      <c r="M10" s="36">
        <f t="shared" si="3"/>
        <v>7.8947368421052628</v>
      </c>
    </row>
    <row r="11" spans="2:13" ht="23.25" x14ac:dyDescent="0.35">
      <c r="B11" s="13">
        <v>2015</v>
      </c>
      <c r="C11" s="13">
        <v>2</v>
      </c>
      <c r="D11" s="13">
        <v>6</v>
      </c>
      <c r="E11" s="13">
        <v>4</v>
      </c>
      <c r="F11" s="13">
        <v>3</v>
      </c>
      <c r="G11" s="13">
        <v>1</v>
      </c>
      <c r="H11" s="13">
        <v>0</v>
      </c>
      <c r="I11" s="13">
        <v>0</v>
      </c>
      <c r="J11" s="13">
        <f t="shared" si="0"/>
        <v>16</v>
      </c>
      <c r="K11" s="13">
        <f t="shared" si="1"/>
        <v>12</v>
      </c>
      <c r="L11" s="19">
        <f t="shared" si="2"/>
        <v>75</v>
      </c>
      <c r="M11" s="36">
        <f t="shared" si="3"/>
        <v>8.625</v>
      </c>
    </row>
    <row r="12" spans="2:13" ht="23.25" x14ac:dyDescent="0.35">
      <c r="B12" s="13">
        <v>2016</v>
      </c>
      <c r="C12" s="13">
        <v>4</v>
      </c>
      <c r="D12" s="13">
        <v>5</v>
      </c>
      <c r="E12" s="13">
        <v>4</v>
      </c>
      <c r="F12" s="13">
        <v>1</v>
      </c>
      <c r="G12" s="13">
        <v>3</v>
      </c>
      <c r="H12" s="13">
        <v>1</v>
      </c>
      <c r="I12" s="13">
        <v>1</v>
      </c>
      <c r="J12" s="13">
        <f t="shared" si="0"/>
        <v>19</v>
      </c>
      <c r="K12" s="13">
        <f t="shared" si="1"/>
        <v>13</v>
      </c>
      <c r="L12" s="19">
        <f t="shared" si="2"/>
        <v>68.421052631578945</v>
      </c>
      <c r="M12" s="36">
        <f t="shared" si="3"/>
        <v>7.8947368421052628</v>
      </c>
    </row>
    <row r="13" spans="2:13" ht="23.25" x14ac:dyDescent="0.35">
      <c r="B13" s="13">
        <v>2017</v>
      </c>
      <c r="C13" s="13">
        <v>4</v>
      </c>
      <c r="D13" s="13">
        <v>5</v>
      </c>
      <c r="E13" s="13">
        <v>6</v>
      </c>
      <c r="F13" s="13">
        <v>3</v>
      </c>
      <c r="G13" s="13">
        <v>0</v>
      </c>
      <c r="H13" s="13">
        <v>0</v>
      </c>
      <c r="I13" s="13">
        <v>1</v>
      </c>
      <c r="J13" s="13">
        <f t="shared" si="0"/>
        <v>19</v>
      </c>
      <c r="K13" s="13">
        <f t="shared" si="1"/>
        <v>15</v>
      </c>
      <c r="L13" s="19">
        <f t="shared" si="2"/>
        <v>78.94736842105263</v>
      </c>
      <c r="M13" s="36">
        <f t="shared" si="3"/>
        <v>8.6315789473684212</v>
      </c>
    </row>
    <row r="14" spans="2:13" ht="23.25" x14ac:dyDescent="0.35">
      <c r="B14" s="21"/>
      <c r="C14" s="21"/>
      <c r="D14" s="21"/>
      <c r="E14" s="21"/>
      <c r="F14" s="21"/>
      <c r="G14" s="21"/>
      <c r="H14" s="21"/>
      <c r="I14" s="31" t="s">
        <v>26</v>
      </c>
      <c r="J14" s="13">
        <f>SUM(J6:J13)</f>
        <v>162</v>
      </c>
      <c r="K14" s="13">
        <f>SUM(K6:K13)</f>
        <v>116</v>
      </c>
      <c r="L14" s="19">
        <f t="shared" si="2"/>
        <v>71.604938271604937</v>
      </c>
      <c r="M14" s="36"/>
    </row>
    <row r="15" spans="2:13" ht="23.25" x14ac:dyDescent="0.35">
      <c r="B15" s="23"/>
      <c r="C15" s="23"/>
      <c r="D15" s="23"/>
      <c r="E15" s="23"/>
      <c r="F15" s="23"/>
      <c r="G15" s="23"/>
      <c r="H15" s="23"/>
      <c r="I15" s="14" t="s">
        <v>29</v>
      </c>
      <c r="J15" s="37">
        <f>SUM(J6:J12)/7</f>
        <v>20.428571428571427</v>
      </c>
      <c r="K15" s="37">
        <f>SUM(K6:K12)/7</f>
        <v>14.428571428571429</v>
      </c>
      <c r="L15" s="38">
        <f>SUM(L6:L12)/7</f>
        <v>70.438596491228068</v>
      </c>
      <c r="M15" s="39">
        <f>SUM(M6:M12)/7</f>
        <v>8.1134825700615174</v>
      </c>
    </row>
    <row r="17" spans="2:10" ht="23.25" x14ac:dyDescent="0.35">
      <c r="B17" s="13" t="s">
        <v>1</v>
      </c>
      <c r="C17" s="13">
        <v>2010</v>
      </c>
      <c r="D17" s="13">
        <v>2011</v>
      </c>
      <c r="E17" s="13">
        <v>2012</v>
      </c>
      <c r="F17" s="13">
        <v>2013</v>
      </c>
      <c r="G17" s="13">
        <v>2014</v>
      </c>
      <c r="H17" s="13">
        <v>2015</v>
      </c>
      <c r="I17" s="13">
        <v>2016</v>
      </c>
      <c r="J17" s="32">
        <v>2017</v>
      </c>
    </row>
    <row r="18" spans="2:10" ht="23.25" x14ac:dyDescent="0.35">
      <c r="B18" s="53" t="s">
        <v>18</v>
      </c>
      <c r="C18" s="13">
        <v>22</v>
      </c>
      <c r="D18" s="13">
        <v>33</v>
      </c>
      <c r="E18" s="13">
        <v>19</v>
      </c>
      <c r="F18" s="13">
        <v>15</v>
      </c>
      <c r="G18" s="13">
        <v>19</v>
      </c>
      <c r="H18" s="13">
        <v>16</v>
      </c>
      <c r="I18" s="13">
        <v>19</v>
      </c>
      <c r="J18" s="32">
        <v>19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Results</vt:lpstr>
      <vt:lpstr>GCSE</vt:lpstr>
      <vt:lpstr>A Level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Jayant</cp:lastModifiedBy>
  <cp:lastPrinted>2017-08-30T22:09:25Z</cp:lastPrinted>
  <dcterms:created xsi:type="dcterms:W3CDTF">2016-09-01T16:23:37Z</dcterms:created>
  <dcterms:modified xsi:type="dcterms:W3CDTF">2017-08-31T22:07:51Z</dcterms:modified>
</cp:coreProperties>
</file>